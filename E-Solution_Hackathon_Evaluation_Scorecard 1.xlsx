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C:\Users\VISHAL SHARMA\Desktop\"/>
    </mc:Choice>
  </mc:AlternateContent>
  <xr:revisionPtr revIDLastSave="0" documentId="8_{E9336E90-DFB2-449C-8CC1-E424F8F679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ackathon Evalu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68" i="1"/>
  <c r="B67" i="1"/>
  <c r="B70" i="1" s="1"/>
  <c r="J5" i="1" s="1"/>
  <c r="H64" i="1"/>
  <c r="B53" i="1"/>
  <c r="B52" i="1"/>
  <c r="C51" i="1"/>
  <c r="D51" i="1" s="1"/>
  <c r="B51" i="1"/>
  <c r="C50" i="1"/>
  <c r="D50" i="1" s="1"/>
  <c r="B50" i="1"/>
  <c r="C49" i="1"/>
  <c r="D49" i="1" s="1"/>
  <c r="B49" i="1"/>
  <c r="G48" i="1"/>
  <c r="C48" i="1"/>
  <c r="D48" i="1" s="1"/>
  <c r="B48" i="1"/>
  <c r="G47" i="1"/>
  <c r="B47" i="1"/>
  <c r="G46" i="1"/>
  <c r="B46" i="1"/>
  <c r="I42" i="1"/>
  <c r="C47" i="1" s="1"/>
  <c r="D47" i="1" s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H5" i="1"/>
  <c r="C52" i="1" l="1"/>
  <c r="D52" i="1" s="1"/>
  <c r="C46" i="1"/>
  <c r="D46" i="1" s="1"/>
  <c r="C53" i="1"/>
  <c r="D53" i="1" s="1"/>
</calcChain>
</file>

<file path=xl/sharedStrings.xml><?xml version="1.0" encoding="utf-8"?>
<sst xmlns="http://schemas.openxmlformats.org/spreadsheetml/2006/main" count="259" uniqueCount="225">
  <si>
    <t>E-Solution Hackathon — Single Team POC Evaluation Scorecard</t>
  </si>
  <si>
    <t>POC-stage evaluation | 100-point weighted score | 1–5 rating | Evidence-based comments | One team per sheet</t>
  </si>
  <si>
    <t>Team Name</t>
  </si>
  <si>
    <t>Solution Name</t>
  </si>
  <si>
    <t>Evaluator Name</t>
  </si>
  <si>
    <t>Evaluator Role / Function</t>
  </si>
  <si>
    <t>Evaluation Date</t>
  </si>
  <si>
    <t>Final Score /100</t>
  </si>
  <si>
    <t>Eligibility</t>
  </si>
  <si>
    <t>Evaluator Rating Scale</t>
  </si>
  <si>
    <t>Very weak — unclear, incomplete or not demonstrated</t>
  </si>
  <si>
    <t>Below expectation — partially addressed with major gaps</t>
  </si>
  <si>
    <t>Meets expectation — credible POC-level response</t>
  </si>
  <si>
    <t>Strong — clear, credible and well demonstrated</t>
  </si>
  <si>
    <t>Exceptional — differentiated, proven and highly convincing</t>
  </si>
  <si>
    <t>Use 2 or 4 when performance falls between the anchor descriptions.</t>
  </si>
  <si>
    <t>Weighted Score = (Evaluator Rating ÷ 5) × Parameter Weight. Complete every rating and record the evidence/rationale supporting the score.</t>
  </si>
  <si>
    <t>Detailed POC Evaluation Scorecard</t>
  </si>
  <si>
    <t>Category</t>
  </si>
  <si>
    <t>Evaluation Parameter</t>
  </si>
  <si>
    <t>Weight</t>
  </si>
  <si>
    <t>What the Evaluator Should Check</t>
  </si>
  <si>
    <t>1 = Weak</t>
  </si>
  <si>
    <t>3 = Meets Expectation</t>
  </si>
  <si>
    <t>5 = Exceptional</t>
  </si>
  <si>
    <t>Evaluator Rating
(1–5)</t>
  </si>
  <si>
    <t>Weighted
Score</t>
  </si>
  <si>
    <t>Evidence / Rationale / Comments</t>
  </si>
  <si>
    <t>Business Problem &amp; Measurable Value</t>
  </si>
  <si>
    <t>Problem clarity &amp; relevance</t>
  </si>
  <si>
    <t>Is the problem real, clearly defined, important, and tied to a specific user or business process?</t>
  </si>
  <si>
    <t>Problem and user are unclear or generic.</t>
  </si>
  <si>
    <t>Problem, user and relevance are clearly explained.</t>
  </si>
  <si>
    <t>High-value problem is strongly evidenced and clearly tied to a meaningful business need.</t>
  </si>
  <si>
    <t>Measurable impact &amp; KPI definition</t>
  </si>
  <si>
    <t>Are baseline, target, volume, time/cost/quality impact and POC success KPIs defined?</t>
  </si>
  <si>
    <t>Claims are vague and no measurable baseline or target is shown.</t>
  </si>
  <si>
    <t>Reasonable baseline, target and POC KPIs are provided.</t>
  </si>
  <si>
    <t>Measured POC results and quantified impact are compelling, credible and clearly evidenced.</t>
  </si>
  <si>
    <t>User value, adoption &amp; business feasibility</t>
  </si>
  <si>
    <t>Would target users use it? Is the value proposition practical and are productivity/cost/revenue benefits credible?</t>
  </si>
  <si>
    <t>User value or adoption case is unclear.</t>
  </si>
  <si>
    <t>Plausible user value and adoption assumptions.</t>
  </si>
  <si>
    <t>Strong user value with credible adoption path and clear business benefit.</t>
  </si>
  <si>
    <t>Innovation &amp; Differentiation</t>
  </si>
  <si>
    <t>Originality of solution</t>
  </si>
  <si>
    <t>Is the approach genuinely creative or meaningfully different for the problem?</t>
  </si>
  <si>
    <t>Mostly standard approach with little originality.</t>
  </si>
  <si>
    <t>Some original elements or useful recombination of known approaches.</t>
  </si>
  <si>
    <t>Highly original solution that creates clear new value.</t>
  </si>
  <si>
    <t>Differentiation vs existing process / alternatives</t>
  </si>
  <si>
    <t>Does the team clearly explain why this is better than the current process or realistic alternatives?</t>
  </si>
  <si>
    <t>Differentiation is unclear or unsupported.</t>
  </si>
  <si>
    <t>Clear differences with reasonable supporting evidence.</t>
  </si>
  <si>
    <t>Distinct advantage is clearly demonstrated against realistic alternatives.</t>
  </si>
  <si>
    <t>Appropriate use of AI / automation</t>
  </si>
  <si>
    <t>Is AI or automation genuinely useful to the problem rather than added only for presentation?</t>
  </si>
  <si>
    <t>AI/automation use is superficial or poorly justified.</t>
  </si>
  <si>
    <t>AI/automation is relevant and reasonably designed.</t>
  </si>
  <si>
    <t>AI/automation is central, justified and materially improves the outcome.</t>
  </si>
  <si>
    <t>Technical Architecture</t>
  </si>
  <si>
    <t>End-to-end architecture completeness</t>
  </si>
  <si>
    <t>Are UI/channel, APIs, application logic, AI, data, integrations and deployment approach covered?</t>
  </si>
  <si>
    <t>Major architecture layers are missing or remain conceptual.</t>
  </si>
  <si>
    <t>Core layers and system/data flow are clearly represented.</t>
  </si>
  <si>
    <t>Complete, coherent architecture with clear boundaries, flows and component responsibilities.</t>
  </si>
  <si>
    <t>Technology choices &amp; design rationale</t>
  </si>
  <si>
    <t>Are models, databases, frameworks, services and design choices appropriate and explained?</t>
  </si>
  <si>
    <t>Technology choices appear arbitrary or unexplained.</t>
  </si>
  <si>
    <t>Reasonable choices with basic justification.</t>
  </si>
  <si>
    <t>Choices are well justified, practical and strongly aligned to the POC requirements.</t>
  </si>
  <si>
    <t>Integration / API feasibility</t>
  </si>
  <si>
    <t>Are external systems, APIs, files, enterprise tools or other dependencies realistically integrated or simulated?</t>
  </si>
  <si>
    <t>Integrations are missing, unrealistic or mostly manual.</t>
  </si>
  <si>
    <t>Key integrations are workable for the POC.</t>
  </si>
  <si>
    <t>Integration approach is clean, repeatable and demonstrates strong feasibility.</t>
  </si>
  <si>
    <t>Engineering quality &amp; maintainability</t>
  </si>
  <si>
    <t>Is the implementation modular, understandable, documented and reusable enough for continued development?</t>
  </si>
  <si>
    <t>Implementation is fragile, poorly structured or undocumented.</t>
  </si>
  <si>
    <t>Acceptable structure, modularity and documentation.</t>
  </si>
  <si>
    <t>Clean modular design, reusable components and strong documentation.</t>
  </si>
  <si>
    <t>AI / Data Engineering Quality</t>
  </si>
  <si>
    <t>Model / agent design &amp; orchestration</t>
  </si>
  <si>
    <t>Are model choice, prompts, agents/tools, RAG or orchestration technically sound for the use case?</t>
  </si>
  <si>
    <t>AI design is vague, brittle or mostly hidden behind a generic API.</t>
  </si>
  <si>
    <t>Clear and workable AI/agent design.</t>
  </si>
  <si>
    <t>Well-designed orchestration with strong reasoning for model/tool choices and control flow.</t>
  </si>
  <si>
    <t>Data availability, quality &amp; preparation</t>
  </si>
  <si>
    <t>Are data sources available and suitable? Is ingestion, cleaning, transformation and data quality handled adequately?</t>
  </si>
  <si>
    <t>Data is unclear, weak or unsuitable for the POC.</t>
  </si>
  <si>
    <t>Core data flow and basic quality checks are defined.</t>
  </si>
  <si>
    <t>Data is well prepared, traceable and clearly supports the POC objectives.</t>
  </si>
  <si>
    <t>AI output accuracy &amp; evaluation</t>
  </si>
  <si>
    <t>Are outputs tested against defined examples/benchmarks? Are accuracy, consistency and failure cases measured?</t>
  </si>
  <si>
    <t>No credible evaluation or quality evidence.</t>
  </si>
  <si>
    <t>Basic evaluation exists with acceptable POC results.</t>
  </si>
  <si>
    <t>Strong evaluation with measured quality, repeatable tests and clear failure analysis.</t>
  </si>
  <si>
    <t>Logging, traceability &amp; debugging</t>
  </si>
  <si>
    <t>Can the team trace requests, prompts, agent/tool calls, data flow and failures during the POC?</t>
  </si>
  <si>
    <t>System behavior is difficult to trace or debug.</t>
  </si>
  <si>
    <t>Basic logs and traceability are available.</t>
  </si>
  <si>
    <t>Strong traceability makes system behavior, errors and outputs easy to understand.</t>
  </si>
  <si>
    <t>Working Prototype &amp; Live Demo</t>
  </si>
  <si>
    <t>Primary workflow works end-to-end</t>
  </si>
  <si>
    <t>Does the prototype complete the main use case from input through final output?</t>
  </si>
  <si>
    <t>Main workflow does not work end-to-end.</t>
  </si>
  <si>
    <t>Primary workflow works with minor limitations.</t>
  </si>
  <si>
    <t>Complete workflow works smoothly and clearly proves the core value.</t>
  </si>
  <si>
    <t>Demo stability &amp; repeatability</t>
  </si>
  <si>
    <t>Can the team repeat the demo reliably without hidden manual steps or fragile workarounds?</t>
  </si>
  <si>
    <t>Frequent failure or heavy manual intervention.</t>
  </si>
  <si>
    <t>Generally stable and repeatable for the POC.</t>
  </si>
  <si>
    <t>Stable, repeatable demo with minimal manual intervention and clear recovery from issues.</t>
  </si>
  <si>
    <t>Evidence: outputs, logs, tests &amp; measurements</t>
  </si>
  <si>
    <t>Does the team show actual outputs, logs, test cases, measurements or benchmark evidence?</t>
  </si>
  <si>
    <t>Mostly screenshots or claims without real evidence.</t>
  </si>
  <si>
    <t>Useful supporting evidence is shown.</t>
  </si>
  <si>
    <t>Strong technical and quantitative evidence proves the POC behavior and results.</t>
  </si>
  <si>
    <t>Usability &amp; human workflow</t>
  </si>
  <si>
    <t>Is the POC easy to understand and use, including user inputs, approvals, exceptions and outputs?</t>
  </si>
  <si>
    <t>Workflow is confusing or difficult to use.</t>
  </si>
  <si>
    <t>Usable flow with basic user controls.</t>
  </si>
  <si>
    <t>Intuitive workflow with clear user actions, exceptions and outputs.</t>
  </si>
  <si>
    <t>POC Validation &amp; Feasibility</t>
  </si>
  <si>
    <t>POC scope &amp; requirement coverage</t>
  </si>
  <si>
    <t>Does the POC cover the agreed must-have requirements and the exact use case it was expected to prove?</t>
  </si>
  <si>
    <t>Important POC requirements are missing or unclear.</t>
  </si>
  <si>
    <t>Most agreed POC requirements are demonstrated.</t>
  </si>
  <si>
    <t>All key POC requirements are clearly demonstrated with evidence.</t>
  </si>
  <si>
    <t>Success criteria / hypothesis validation</t>
  </si>
  <si>
    <t>Does the POC prove or disprove the intended hypothesis using clear success criteria and results?</t>
  </si>
  <si>
    <t>No clear success criteria or proof.</t>
  </si>
  <si>
    <t>POC gives reasonable evidence against defined success criteria.</t>
  </si>
  <si>
    <t>POC clearly validates the hypothesis with measurable and repeatable evidence.</t>
  </si>
  <si>
    <t>Dependencies, assumptions &amp; repeatability</t>
  </si>
  <si>
    <t>Are dependencies and assumptions clearly stated, and can the POC be reproduced in another environment or dataset?</t>
  </si>
  <si>
    <t>Hidden dependencies or one-time demo conditions.</t>
  </si>
  <si>
    <t>Major dependencies are known and the POC is reasonably reproducible.</t>
  </si>
  <si>
    <t>Dependencies are clear and the POC is readily repeatable with documented setup and assumptions.</t>
  </si>
  <si>
    <t>Scalability &amp; Next-Step Readiness</t>
  </si>
  <si>
    <t>Technical scalability &amp; performance direction</t>
  </si>
  <si>
    <t>Has the team identified likely performance bottlenecks and a credible direction for handling more users/data?</t>
  </si>
  <si>
    <t>No credible view of scaling or performance.</t>
  </si>
  <si>
    <t>Reasonable next-step approach to scaling.</t>
  </si>
  <si>
    <t>Clear understanding of bottlenecks and practical scaling options.</t>
  </si>
  <si>
    <t>Deployment, monitoring &amp; operational feasibility</t>
  </si>
  <si>
    <t>Can the POC be deployed and monitored in a controlled environment for the next phase?</t>
  </si>
  <si>
    <t>Deployment/monitoring approach is undefined.</t>
  </si>
  <si>
    <t>Basic deployment and monitoring approach is clear.</t>
  </si>
  <si>
    <t>Deployment and monitoring approach is practical, documented and ready for a pilot environment.</t>
  </si>
  <si>
    <t>Roadmap, effort assumptions &amp; next-phase readiness</t>
  </si>
  <si>
    <t>Are the next steps, dependencies, resource needs, expected effort and pilot plan realistic?</t>
  </si>
  <si>
    <t>Next steps and dependencies are unclear.</t>
  </si>
  <si>
    <t>Plausible roadmap and dependencies are identified.</t>
  </si>
  <si>
    <t>Clear path from POC to next phase with realistic priorities, dependencies and ownership.</t>
  </si>
  <si>
    <t>Presentation &amp; Q&amp;A</t>
  </si>
  <si>
    <t>Clarity, structure &amp; evidence discipline</t>
  </si>
  <si>
    <t>Is the story clear, concise, quantified and supported by evidence rather than generic claims?</t>
  </si>
  <si>
    <t>Presentation is unclear or mostly claim-based.</t>
  </si>
  <si>
    <t>Clear POC story with supporting evidence.</t>
  </si>
  <si>
    <t>Highly clear, concise and evidence-led communication with strong business/technical balance.</t>
  </si>
  <si>
    <t>Technical depth, ownership &amp; Q&amp;A</t>
  </si>
  <si>
    <t>Can the team explain what they built, choices, limitations, dependencies and answer detailed questions?</t>
  </si>
  <si>
    <t>Team cannot explain key design choices or limitations.</t>
  </si>
  <si>
    <t>Team answers core questions credibly and understands the POC.</t>
  </si>
  <si>
    <t>Deep ownership is obvious; trade-offs, limitations and questions are answered precisely.</t>
  </si>
  <si>
    <t>TOTAL POC EVALUATION SCORE</t>
  </si>
  <si>
    <t>Complete all 26 ratings and provide supporting comments.</t>
  </si>
  <si>
    <t>Category Score Summary</t>
  </si>
  <si>
    <t>Maximum Points</t>
  </si>
  <si>
    <t>Evaluator Score</t>
  </si>
  <si>
    <t>% of Category</t>
  </si>
  <si>
    <t>Summary Metric</t>
  </si>
  <si>
    <t>Result</t>
  </si>
  <si>
    <t>Completion</t>
  </si>
  <si>
    <t>Overall Score</t>
  </si>
  <si>
    <t>Technical + Demo Score /50</t>
  </si>
  <si>
    <t>Recommended Overall Minimum</t>
  </si>
  <si>
    <t>70 / 100</t>
  </si>
  <si>
    <t>Recommended Technical Minimum</t>
  </si>
  <si>
    <t>35 / 50</t>
  </si>
  <si>
    <t>POC Qualification Gates</t>
  </si>
  <si>
    <t>Gate</t>
  </si>
  <si>
    <t>Requirement / What to Verify</t>
  </si>
  <si>
    <t>Evaluator Response</t>
  </si>
  <si>
    <t>Expected</t>
  </si>
  <si>
    <t>Gate Notes / Evidence</t>
  </si>
  <si>
    <t>Working prototype</t>
  </si>
  <si>
    <t>A functioning prototype exists and demonstrates the primary use case end-to-end.</t>
  </si>
  <si>
    <t>Yes</t>
  </si>
  <si>
    <t>Live demonstration</t>
  </si>
  <si>
    <t>The team demonstrates the submitted prototype live or provides verified backup evidence if a technical failure occurs.</t>
  </si>
  <si>
    <t>Solution ownership declared</t>
  </si>
  <si>
    <t>The team clearly explains what was built by the team versus provided by LLMs, APIs, SaaS tools or pre-built frameworks.</t>
  </si>
  <si>
    <t>Architecture provided</t>
  </si>
  <si>
    <t>Application, AI/data, integration and deployment architecture are provided and understandable.</t>
  </si>
  <si>
    <t>Data source disclosed</t>
  </si>
  <si>
    <t>The data sources and test/synthetic data used in the POC are clearly disclosed.</t>
  </si>
  <si>
    <t>Results are evidence-based</t>
  </si>
  <si>
    <t>Key POC results are supported by actual outputs, measurements, tests or logs rather than unsupported claims.</t>
  </si>
  <si>
    <t>Fabricated results</t>
  </si>
  <si>
    <t>No fabricated performance claims, test results or evidence are identified.</t>
  </si>
  <si>
    <t>No</t>
  </si>
  <si>
    <t>QUALIFICATION GATE STATUS</t>
  </si>
  <si>
    <t>Final Evaluator Assessment</t>
  </si>
  <si>
    <t>Overall Score /100</t>
  </si>
  <si>
    <t>Recommended minimum: 70/100</t>
  </si>
  <si>
    <t>Recommended minimum: 35/50</t>
  </si>
  <si>
    <t>Gate Status</t>
  </si>
  <si>
    <t>All mandatory POC gates should pass</t>
  </si>
  <si>
    <t>Score threshold + technical/demo threshold + qualification gates</t>
  </si>
  <si>
    <t>Supplemental Evaluator Notes — not additional points</t>
  </si>
  <si>
    <t>Overall Strengths</t>
  </si>
  <si>
    <t>What did the team do particularly well? Mention specific evidence.</t>
  </si>
  <si>
    <t>Key Gaps / Concerns</t>
  </si>
  <si>
    <t>What gaps could prevent the POC from moving successfully to the next phase?</t>
  </si>
  <si>
    <t>Recommended Improvements / Next Steps</t>
  </si>
  <si>
    <t>What should the team improve first after the hackathon?</t>
  </si>
  <si>
    <t>POC Recommendation</t>
  </si>
  <si>
    <t>Proceed to next phase / Proceed with conditions / Needs rework / Do not proceed</t>
  </si>
  <si>
    <t>Award Nomination (optional)</t>
  </si>
  <si>
    <t>None / Best Innovation / Best Technical Solution / Best Business Impact / Best POC Execution</t>
  </si>
  <si>
    <t>Final Evaluator Comments</t>
  </si>
  <si>
    <t>Overall rationale for the recommendation and any important caveats.</t>
  </si>
  <si>
    <t>Evaluator reminder: score independently first. Assess what the team actually built and proved during the POC. Clearly distinguish measured results from assumptions or future plans.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</si>
</sst>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&quot; / 100&quot;"/>
  </numFmts>
  <fonts count="5">
    <font>
      <sz val="11"/>
      <name val="Carlito"/>
    </font>
    <font>
      <b/>
      <sz val="16"/>
      <name val="Carlito"/>
    </font>
    <font>
      <i/>
      <sz val="11"/>
      <name val="Carlito"/>
    </font>
    <font>
      <b/>
      <sz val="11"/>
      <name val="Carlito"/>
    </font>
    <font>
      <b/>
      <sz val="12"/>
      <name val="Carli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3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0" borderId="2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topLeftCell="F1" workbookViewId="0">
      <selection sqref="A1:J1"/>
    </sheetView>
  </sheetViews>
  <sheetFormatPr defaultRowHeight="14.1"/>
  <cols>
    <col min="1" max="1" width="29" customWidth="1"/>
    <col min="2" max="2" width="34" customWidth="1"/>
    <col min="3" max="3" width="10" customWidth="1"/>
    <col min="4" max="4" width="43" customWidth="1"/>
    <col min="5" max="5" width="34" customWidth="1"/>
    <col min="6" max="6" width="36" customWidth="1"/>
    <col min="7" max="7" width="38" customWidth="1"/>
    <col min="8" max="8" width="13" customWidth="1"/>
    <col min="9" max="9" width="14" customWidth="1"/>
    <col min="10" max="10" width="48" customWidth="1"/>
  </cols>
  <sheetData>
    <row r="1" spans="1:10" ht="20.100000000000001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4.6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</row>
    <row r="4" spans="1:10">
      <c r="A4" s="1" t="s">
        <v>2</v>
      </c>
      <c r="B4" s="24"/>
      <c r="C4" s="24"/>
      <c r="D4" s="1" t="s">
        <v>3</v>
      </c>
      <c r="E4" s="24"/>
      <c r="F4" s="24"/>
      <c r="G4" s="1" t="s">
        <v>4</v>
      </c>
      <c r="H4" s="24"/>
      <c r="I4" s="24"/>
      <c r="J4" s="24"/>
    </row>
    <row r="5" spans="1:10">
      <c r="A5" s="1" t="s">
        <v>5</v>
      </c>
      <c r="B5" s="24"/>
      <c r="C5" s="24"/>
      <c r="D5" s="1" t="s">
        <v>6</v>
      </c>
      <c r="E5" s="25"/>
      <c r="F5" s="25"/>
      <c r="G5" s="1" t="s">
        <v>7</v>
      </c>
      <c r="H5" s="8" t="str">
        <f>IF(I42="","",I42)</f>
        <v/>
      </c>
      <c r="I5" s="1" t="s">
        <v>8</v>
      </c>
      <c r="J5" s="2" t="str">
        <f>IF(B70="","",B70)</f>
        <v>Pending</v>
      </c>
    </row>
    <row r="7" spans="1:10" ht="15.6">
      <c r="A7" s="18" t="s">
        <v>9</v>
      </c>
      <c r="B7" s="18"/>
      <c r="C7" s="18"/>
      <c r="D7" s="18"/>
      <c r="E7" s="18"/>
      <c r="F7" s="18"/>
      <c r="G7" s="18"/>
      <c r="H7" s="18"/>
      <c r="I7" s="18"/>
      <c r="J7" s="18"/>
    </row>
    <row r="8" spans="1:10" ht="27.95">
      <c r="A8" s="5">
        <v>1</v>
      </c>
      <c r="B8" s="3" t="s">
        <v>10</v>
      </c>
      <c r="C8" s="5">
        <v>2</v>
      </c>
      <c r="D8" s="3" t="s">
        <v>11</v>
      </c>
      <c r="E8" s="5">
        <v>3</v>
      </c>
      <c r="F8" s="3" t="s">
        <v>12</v>
      </c>
      <c r="G8" s="3"/>
      <c r="H8" s="3"/>
      <c r="I8" s="3"/>
      <c r="J8" s="3"/>
    </row>
    <row r="9" spans="1:10" ht="27.95">
      <c r="A9" s="5">
        <v>4</v>
      </c>
      <c r="B9" s="3" t="s">
        <v>13</v>
      </c>
      <c r="C9" s="5">
        <v>5</v>
      </c>
      <c r="D9" s="3" t="s">
        <v>14</v>
      </c>
      <c r="E9" s="5"/>
      <c r="F9" s="3" t="s">
        <v>15</v>
      </c>
      <c r="G9" s="3"/>
      <c r="H9" s="3"/>
      <c r="I9" s="3"/>
      <c r="J9" s="3"/>
    </row>
    <row r="11" spans="1:10" ht="16.7" customHeight="1">
      <c r="A11" s="26" t="s">
        <v>16</v>
      </c>
      <c r="B11" s="26"/>
      <c r="C11" s="26"/>
      <c r="D11" s="26"/>
      <c r="E11" s="26"/>
      <c r="F11" s="26"/>
      <c r="G11" s="26"/>
      <c r="H11" s="26"/>
      <c r="I11" s="26"/>
      <c r="J11" s="26"/>
    </row>
    <row r="13" spans="1:10" ht="15.6">
      <c r="A13" s="18" t="s">
        <v>17</v>
      </c>
      <c r="B13" s="18"/>
      <c r="C13" s="18"/>
      <c r="D13" s="18"/>
      <c r="E13" s="18"/>
      <c r="F13" s="18"/>
      <c r="G13" s="18"/>
      <c r="H13" s="18"/>
      <c r="I13" s="18"/>
      <c r="J13" s="18"/>
    </row>
    <row r="15" spans="1:10" ht="27.95" customHeight="1">
      <c r="A15" s="5" t="s">
        <v>18</v>
      </c>
      <c r="B15" s="5" t="s">
        <v>19</v>
      </c>
      <c r="C15" s="5" t="s">
        <v>20</v>
      </c>
      <c r="D15" s="5" t="s">
        <v>21</v>
      </c>
      <c r="E15" s="5" t="s">
        <v>22</v>
      </c>
      <c r="F15" s="5" t="s">
        <v>23</v>
      </c>
      <c r="G15" s="5" t="s">
        <v>24</v>
      </c>
      <c r="H15" s="5" t="s">
        <v>25</v>
      </c>
      <c r="I15" s="5" t="s">
        <v>26</v>
      </c>
      <c r="J15" s="5" t="s">
        <v>27</v>
      </c>
    </row>
    <row r="16" spans="1:10" ht="44.1" customHeight="1">
      <c r="A16" s="4" t="s">
        <v>28</v>
      </c>
      <c r="B16" s="3" t="s">
        <v>29</v>
      </c>
      <c r="C16" s="5">
        <v>5</v>
      </c>
      <c r="D16" s="3" t="s">
        <v>30</v>
      </c>
      <c r="E16" s="3" t="s">
        <v>31</v>
      </c>
      <c r="F16" s="3" t="s">
        <v>32</v>
      </c>
      <c r="G16" s="3" t="s">
        <v>33</v>
      </c>
      <c r="H16" s="6"/>
      <c r="I16" s="6" t="str">
        <f t="shared" ref="I16:I41" si="0">IF(H16="","",ROUND((H16/5)*C16,2))</f>
        <v/>
      </c>
      <c r="J16" s="3"/>
    </row>
    <row r="17" spans="1:10" ht="44.1" customHeight="1">
      <c r="A17" s="4" t="s">
        <v>28</v>
      </c>
      <c r="B17" s="3" t="s">
        <v>34</v>
      </c>
      <c r="C17" s="5">
        <v>5</v>
      </c>
      <c r="D17" s="3" t="s">
        <v>35</v>
      </c>
      <c r="E17" s="3" t="s">
        <v>36</v>
      </c>
      <c r="F17" s="3" t="s">
        <v>37</v>
      </c>
      <c r="G17" s="3" t="s">
        <v>38</v>
      </c>
      <c r="H17" s="6"/>
      <c r="I17" s="6" t="str">
        <f t="shared" si="0"/>
        <v/>
      </c>
      <c r="J17" s="3"/>
    </row>
    <row r="18" spans="1:10" ht="44.1" customHeight="1">
      <c r="A18" s="4" t="s">
        <v>28</v>
      </c>
      <c r="B18" s="3" t="s">
        <v>39</v>
      </c>
      <c r="C18" s="5">
        <v>5</v>
      </c>
      <c r="D18" s="3" t="s">
        <v>40</v>
      </c>
      <c r="E18" s="3" t="s">
        <v>41</v>
      </c>
      <c r="F18" s="3" t="s">
        <v>42</v>
      </c>
      <c r="G18" s="3" t="s">
        <v>43</v>
      </c>
      <c r="H18" s="6"/>
      <c r="I18" s="6" t="str">
        <f t="shared" si="0"/>
        <v/>
      </c>
      <c r="J18" s="3"/>
    </row>
    <row r="19" spans="1:10" ht="44.1" customHeight="1">
      <c r="A19" s="4" t="s">
        <v>44</v>
      </c>
      <c r="B19" s="3" t="s">
        <v>45</v>
      </c>
      <c r="C19" s="5">
        <v>6</v>
      </c>
      <c r="D19" s="3" t="s">
        <v>46</v>
      </c>
      <c r="E19" s="3" t="s">
        <v>47</v>
      </c>
      <c r="F19" s="3" t="s">
        <v>48</v>
      </c>
      <c r="G19" s="3" t="s">
        <v>49</v>
      </c>
      <c r="H19" s="6"/>
      <c r="I19" s="6" t="str">
        <f t="shared" si="0"/>
        <v/>
      </c>
      <c r="J19" s="3"/>
    </row>
    <row r="20" spans="1:10" ht="44.1" customHeight="1">
      <c r="A20" s="4" t="s">
        <v>44</v>
      </c>
      <c r="B20" s="3" t="s">
        <v>50</v>
      </c>
      <c r="C20" s="5">
        <v>5</v>
      </c>
      <c r="D20" s="3" t="s">
        <v>51</v>
      </c>
      <c r="E20" s="3" t="s">
        <v>52</v>
      </c>
      <c r="F20" s="3" t="s">
        <v>53</v>
      </c>
      <c r="G20" s="3" t="s">
        <v>54</v>
      </c>
      <c r="H20" s="6"/>
      <c r="I20" s="6" t="str">
        <f t="shared" si="0"/>
        <v/>
      </c>
      <c r="J20" s="3"/>
    </row>
    <row r="21" spans="1:10" ht="44.1" customHeight="1">
      <c r="A21" s="4" t="s">
        <v>44</v>
      </c>
      <c r="B21" s="3" t="s">
        <v>55</v>
      </c>
      <c r="C21" s="5">
        <v>4</v>
      </c>
      <c r="D21" s="3" t="s">
        <v>56</v>
      </c>
      <c r="E21" s="3" t="s">
        <v>57</v>
      </c>
      <c r="F21" s="3" t="s">
        <v>58</v>
      </c>
      <c r="G21" s="3" t="s">
        <v>59</v>
      </c>
      <c r="H21" s="6"/>
      <c r="I21" s="6" t="str">
        <f t="shared" si="0"/>
        <v/>
      </c>
      <c r="J21" s="3"/>
    </row>
    <row r="22" spans="1:10" ht="44.1" customHeight="1">
      <c r="A22" s="4" t="s">
        <v>60</v>
      </c>
      <c r="B22" s="3" t="s">
        <v>61</v>
      </c>
      <c r="C22" s="5">
        <v>5</v>
      </c>
      <c r="D22" s="3" t="s">
        <v>62</v>
      </c>
      <c r="E22" s="3" t="s">
        <v>63</v>
      </c>
      <c r="F22" s="3" t="s">
        <v>64</v>
      </c>
      <c r="G22" s="3" t="s">
        <v>65</v>
      </c>
      <c r="H22" s="6"/>
      <c r="I22" s="6" t="str">
        <f t="shared" si="0"/>
        <v/>
      </c>
      <c r="J22" s="3"/>
    </row>
    <row r="23" spans="1:10" ht="44.1" customHeight="1">
      <c r="A23" s="4" t="s">
        <v>60</v>
      </c>
      <c r="B23" s="3" t="s">
        <v>66</v>
      </c>
      <c r="C23" s="5">
        <v>4</v>
      </c>
      <c r="D23" s="3" t="s">
        <v>67</v>
      </c>
      <c r="E23" s="3" t="s">
        <v>68</v>
      </c>
      <c r="F23" s="3" t="s">
        <v>69</v>
      </c>
      <c r="G23" s="3" t="s">
        <v>70</v>
      </c>
      <c r="H23" s="6"/>
      <c r="I23" s="6" t="str">
        <f t="shared" si="0"/>
        <v/>
      </c>
      <c r="J23" s="3"/>
    </row>
    <row r="24" spans="1:10" ht="44.1" customHeight="1">
      <c r="A24" s="4" t="s">
        <v>60</v>
      </c>
      <c r="B24" s="3" t="s">
        <v>71</v>
      </c>
      <c r="C24" s="5">
        <v>3</v>
      </c>
      <c r="D24" s="3" t="s">
        <v>72</v>
      </c>
      <c r="E24" s="3" t="s">
        <v>73</v>
      </c>
      <c r="F24" s="3" t="s">
        <v>74</v>
      </c>
      <c r="G24" s="3" t="s">
        <v>75</v>
      </c>
      <c r="H24" s="6"/>
      <c r="I24" s="6" t="str">
        <f t="shared" si="0"/>
        <v/>
      </c>
      <c r="J24" s="3"/>
    </row>
    <row r="25" spans="1:10" ht="44.1" customHeight="1">
      <c r="A25" s="4" t="s">
        <v>60</v>
      </c>
      <c r="B25" s="3" t="s">
        <v>76</v>
      </c>
      <c r="C25" s="5">
        <v>3</v>
      </c>
      <c r="D25" s="3" t="s">
        <v>77</v>
      </c>
      <c r="E25" s="3" t="s">
        <v>78</v>
      </c>
      <c r="F25" s="3" t="s">
        <v>79</v>
      </c>
      <c r="G25" s="3" t="s">
        <v>80</v>
      </c>
      <c r="H25" s="6"/>
      <c r="I25" s="6" t="str">
        <f t="shared" si="0"/>
        <v/>
      </c>
      <c r="J25" s="3"/>
    </row>
    <row r="26" spans="1:10" ht="44.1" customHeight="1">
      <c r="A26" s="4" t="s">
        <v>81</v>
      </c>
      <c r="B26" s="3" t="s">
        <v>82</v>
      </c>
      <c r="C26" s="5">
        <v>4</v>
      </c>
      <c r="D26" s="3" t="s">
        <v>83</v>
      </c>
      <c r="E26" s="3" t="s">
        <v>84</v>
      </c>
      <c r="F26" s="3" t="s">
        <v>85</v>
      </c>
      <c r="G26" s="3" t="s">
        <v>86</v>
      </c>
      <c r="H26" s="6"/>
      <c r="I26" s="6" t="str">
        <f t="shared" si="0"/>
        <v/>
      </c>
      <c r="J26" s="3"/>
    </row>
    <row r="27" spans="1:10" ht="44.1" customHeight="1">
      <c r="A27" s="4" t="s">
        <v>81</v>
      </c>
      <c r="B27" s="3" t="s">
        <v>87</v>
      </c>
      <c r="C27" s="5">
        <v>4</v>
      </c>
      <c r="D27" s="3" t="s">
        <v>88</v>
      </c>
      <c r="E27" s="3" t="s">
        <v>89</v>
      </c>
      <c r="F27" s="3" t="s">
        <v>90</v>
      </c>
      <c r="G27" s="3" t="s">
        <v>91</v>
      </c>
      <c r="H27" s="6"/>
      <c r="I27" s="6" t="str">
        <f t="shared" si="0"/>
        <v/>
      </c>
      <c r="J27" s="3"/>
    </row>
    <row r="28" spans="1:10" ht="44.1" customHeight="1">
      <c r="A28" s="4" t="s">
        <v>81</v>
      </c>
      <c r="B28" s="3" t="s">
        <v>92</v>
      </c>
      <c r="C28" s="5">
        <v>4</v>
      </c>
      <c r="D28" s="3" t="s">
        <v>93</v>
      </c>
      <c r="E28" s="3" t="s">
        <v>94</v>
      </c>
      <c r="F28" s="3" t="s">
        <v>95</v>
      </c>
      <c r="G28" s="3" t="s">
        <v>96</v>
      </c>
      <c r="H28" s="6"/>
      <c r="I28" s="6" t="str">
        <f t="shared" si="0"/>
        <v/>
      </c>
      <c r="J28" s="3"/>
    </row>
    <row r="29" spans="1:10" ht="44.1" customHeight="1">
      <c r="A29" s="4" t="s">
        <v>81</v>
      </c>
      <c r="B29" s="3" t="s">
        <v>97</v>
      </c>
      <c r="C29" s="5">
        <v>3</v>
      </c>
      <c r="D29" s="3" t="s">
        <v>98</v>
      </c>
      <c r="E29" s="3" t="s">
        <v>99</v>
      </c>
      <c r="F29" s="3" t="s">
        <v>100</v>
      </c>
      <c r="G29" s="3" t="s">
        <v>101</v>
      </c>
      <c r="H29" s="6"/>
      <c r="I29" s="6" t="str">
        <f t="shared" si="0"/>
        <v/>
      </c>
      <c r="J29" s="3"/>
    </row>
    <row r="30" spans="1:10" ht="44.1" customHeight="1">
      <c r="A30" s="4" t="s">
        <v>102</v>
      </c>
      <c r="B30" s="3" t="s">
        <v>103</v>
      </c>
      <c r="C30" s="5">
        <v>8</v>
      </c>
      <c r="D30" s="3" t="s">
        <v>104</v>
      </c>
      <c r="E30" s="3" t="s">
        <v>105</v>
      </c>
      <c r="F30" s="3" t="s">
        <v>106</v>
      </c>
      <c r="G30" s="3" t="s">
        <v>107</v>
      </c>
      <c r="H30" s="6"/>
      <c r="I30" s="6" t="str">
        <f t="shared" si="0"/>
        <v/>
      </c>
      <c r="J30" s="3"/>
    </row>
    <row r="31" spans="1:10" ht="44.1" customHeight="1">
      <c r="A31" s="4" t="s">
        <v>102</v>
      </c>
      <c r="B31" s="3" t="s">
        <v>108</v>
      </c>
      <c r="C31" s="5">
        <v>5</v>
      </c>
      <c r="D31" s="3" t="s">
        <v>109</v>
      </c>
      <c r="E31" s="3" t="s">
        <v>110</v>
      </c>
      <c r="F31" s="3" t="s">
        <v>111</v>
      </c>
      <c r="G31" s="3" t="s">
        <v>112</v>
      </c>
      <c r="H31" s="6"/>
      <c r="I31" s="6" t="str">
        <f t="shared" si="0"/>
        <v/>
      </c>
      <c r="J31" s="3"/>
    </row>
    <row r="32" spans="1:10" ht="44.1" customHeight="1">
      <c r="A32" s="4" t="s">
        <v>102</v>
      </c>
      <c r="B32" s="3" t="s">
        <v>113</v>
      </c>
      <c r="C32" s="5">
        <v>4</v>
      </c>
      <c r="D32" s="3" t="s">
        <v>114</v>
      </c>
      <c r="E32" s="3" t="s">
        <v>115</v>
      </c>
      <c r="F32" s="3" t="s">
        <v>116</v>
      </c>
      <c r="G32" s="3" t="s">
        <v>117</v>
      </c>
      <c r="H32" s="6"/>
      <c r="I32" s="6" t="str">
        <f t="shared" si="0"/>
        <v/>
      </c>
      <c r="J32" s="3"/>
    </row>
    <row r="33" spans="1:10" ht="44.1" customHeight="1">
      <c r="A33" s="4" t="s">
        <v>102</v>
      </c>
      <c r="B33" s="3" t="s">
        <v>118</v>
      </c>
      <c r="C33" s="5">
        <v>3</v>
      </c>
      <c r="D33" s="3" t="s">
        <v>119</v>
      </c>
      <c r="E33" s="3" t="s">
        <v>120</v>
      </c>
      <c r="F33" s="3" t="s">
        <v>121</v>
      </c>
      <c r="G33" s="3" t="s">
        <v>122</v>
      </c>
      <c r="H33" s="6"/>
      <c r="I33" s="6" t="str">
        <f t="shared" si="0"/>
        <v/>
      </c>
      <c r="J33" s="3"/>
    </row>
    <row r="34" spans="1:10" ht="44.1" customHeight="1">
      <c r="A34" s="4" t="s">
        <v>123</v>
      </c>
      <c r="B34" s="3" t="s">
        <v>124</v>
      </c>
      <c r="C34" s="5">
        <v>3</v>
      </c>
      <c r="D34" s="3" t="s">
        <v>125</v>
      </c>
      <c r="E34" s="3" t="s">
        <v>126</v>
      </c>
      <c r="F34" s="3" t="s">
        <v>127</v>
      </c>
      <c r="G34" s="3" t="s">
        <v>128</v>
      </c>
      <c r="H34" s="6"/>
      <c r="I34" s="6" t="str">
        <f t="shared" si="0"/>
        <v/>
      </c>
      <c r="J34" s="3"/>
    </row>
    <row r="35" spans="1:10" ht="44.1" customHeight="1">
      <c r="A35" s="4" t="s">
        <v>123</v>
      </c>
      <c r="B35" s="3" t="s">
        <v>129</v>
      </c>
      <c r="C35" s="5">
        <v>3</v>
      </c>
      <c r="D35" s="3" t="s">
        <v>130</v>
      </c>
      <c r="E35" s="3" t="s">
        <v>131</v>
      </c>
      <c r="F35" s="3" t="s">
        <v>132</v>
      </c>
      <c r="G35" s="3" t="s">
        <v>133</v>
      </c>
      <c r="H35" s="6"/>
      <c r="I35" s="6" t="str">
        <f t="shared" si="0"/>
        <v/>
      </c>
      <c r="J35" s="3"/>
    </row>
    <row r="36" spans="1:10" ht="44.1" customHeight="1">
      <c r="A36" s="4" t="s">
        <v>123</v>
      </c>
      <c r="B36" s="3" t="s">
        <v>134</v>
      </c>
      <c r="C36" s="5">
        <v>2</v>
      </c>
      <c r="D36" s="3" t="s">
        <v>135</v>
      </c>
      <c r="E36" s="3" t="s">
        <v>136</v>
      </c>
      <c r="F36" s="3" t="s">
        <v>137</v>
      </c>
      <c r="G36" s="3" t="s">
        <v>138</v>
      </c>
      <c r="H36" s="6"/>
      <c r="I36" s="6" t="str">
        <f t="shared" si="0"/>
        <v/>
      </c>
      <c r="J36" s="3"/>
    </row>
    <row r="37" spans="1:10" ht="44.1" customHeight="1">
      <c r="A37" s="4" t="s">
        <v>139</v>
      </c>
      <c r="B37" s="3" t="s">
        <v>140</v>
      </c>
      <c r="C37" s="5">
        <v>3</v>
      </c>
      <c r="D37" s="3" t="s">
        <v>141</v>
      </c>
      <c r="E37" s="3" t="s">
        <v>142</v>
      </c>
      <c r="F37" s="3" t="s">
        <v>143</v>
      </c>
      <c r="G37" s="3" t="s">
        <v>144</v>
      </c>
      <c r="H37" s="6"/>
      <c r="I37" s="6" t="str">
        <f t="shared" si="0"/>
        <v/>
      </c>
      <c r="J37" s="3"/>
    </row>
    <row r="38" spans="1:10" ht="44.1" customHeight="1">
      <c r="A38" s="4" t="s">
        <v>139</v>
      </c>
      <c r="B38" s="3" t="s">
        <v>145</v>
      </c>
      <c r="C38" s="5">
        <v>2</v>
      </c>
      <c r="D38" s="3" t="s">
        <v>146</v>
      </c>
      <c r="E38" s="3" t="s">
        <v>147</v>
      </c>
      <c r="F38" s="3" t="s">
        <v>148</v>
      </c>
      <c r="G38" s="3" t="s">
        <v>149</v>
      </c>
      <c r="H38" s="6"/>
      <c r="I38" s="6" t="str">
        <f t="shared" si="0"/>
        <v/>
      </c>
      <c r="J38" s="3"/>
    </row>
    <row r="39" spans="1:10" ht="44.1" customHeight="1">
      <c r="A39" s="4" t="s">
        <v>139</v>
      </c>
      <c r="B39" s="3" t="s">
        <v>150</v>
      </c>
      <c r="C39" s="5">
        <v>2</v>
      </c>
      <c r="D39" s="3" t="s">
        <v>151</v>
      </c>
      <c r="E39" s="3" t="s">
        <v>152</v>
      </c>
      <c r="F39" s="3" t="s">
        <v>153</v>
      </c>
      <c r="G39" s="3" t="s">
        <v>154</v>
      </c>
      <c r="H39" s="6"/>
      <c r="I39" s="6" t="str">
        <f t="shared" si="0"/>
        <v/>
      </c>
      <c r="J39" s="3"/>
    </row>
    <row r="40" spans="1:10" ht="44.1" customHeight="1">
      <c r="A40" s="4" t="s">
        <v>155</v>
      </c>
      <c r="B40" s="3" t="s">
        <v>156</v>
      </c>
      <c r="C40" s="5">
        <v>2</v>
      </c>
      <c r="D40" s="3" t="s">
        <v>157</v>
      </c>
      <c r="E40" s="3" t="s">
        <v>158</v>
      </c>
      <c r="F40" s="3" t="s">
        <v>159</v>
      </c>
      <c r="G40" s="3" t="s">
        <v>160</v>
      </c>
      <c r="H40" s="6"/>
      <c r="I40" s="6" t="str">
        <f t="shared" si="0"/>
        <v/>
      </c>
      <c r="J40" s="3"/>
    </row>
    <row r="41" spans="1:10" ht="44.1" customHeight="1">
      <c r="A41" s="4" t="s">
        <v>155</v>
      </c>
      <c r="B41" s="3" t="s">
        <v>161</v>
      </c>
      <c r="C41" s="5">
        <v>3</v>
      </c>
      <c r="D41" s="3" t="s">
        <v>162</v>
      </c>
      <c r="E41" s="3" t="s">
        <v>163</v>
      </c>
      <c r="F41" s="3" t="s">
        <v>164</v>
      </c>
      <c r="G41" s="3" t="s">
        <v>165</v>
      </c>
      <c r="H41" s="6"/>
      <c r="I41" s="6" t="str">
        <f t="shared" si="0"/>
        <v/>
      </c>
      <c r="J41" s="3"/>
    </row>
    <row r="42" spans="1:10" ht="18.600000000000001" customHeight="1">
      <c r="A42" s="22" t="s">
        <v>166</v>
      </c>
      <c r="B42" s="22"/>
      <c r="C42" s="22"/>
      <c r="D42" s="22"/>
      <c r="E42" s="22"/>
      <c r="F42" s="22"/>
      <c r="G42" s="22"/>
      <c r="H42" s="22"/>
      <c r="I42" s="7" t="str">
        <f>IF(COUNT(H16:H41)&lt;26,"",ROUND(SUM(I16:I41),2))</f>
        <v/>
      </c>
      <c r="J42" s="3" t="s">
        <v>167</v>
      </c>
    </row>
    <row r="44" spans="1:10" ht="15.6">
      <c r="A44" s="18" t="s">
        <v>168</v>
      </c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27.95">
      <c r="A45" s="5" t="s">
        <v>18</v>
      </c>
      <c r="B45" s="5" t="s">
        <v>169</v>
      </c>
      <c r="C45" s="5" t="s">
        <v>170</v>
      </c>
      <c r="D45" s="5" t="s">
        <v>171</v>
      </c>
      <c r="F45" s="5" t="s">
        <v>172</v>
      </c>
      <c r="G45" s="5" t="s">
        <v>173</v>
      </c>
    </row>
    <row r="46" spans="1:10" ht="27.95">
      <c r="A46" s="3" t="s">
        <v>28</v>
      </c>
      <c r="B46" s="9">
        <f t="shared" ref="B46:B53" si="1">SUMIF($A$16:$A$41,A46,$C$16:$C$41)</f>
        <v>15</v>
      </c>
      <c r="C46" s="9" t="str">
        <f t="shared" ref="C46:C53" si="2">IF($I$42="","",SUMIF($A$16:$A$41,A46,$I$16:$I$41))</f>
        <v/>
      </c>
      <c r="D46" s="10" t="str">
        <f t="shared" ref="D46:D53" si="3">IF(C46="","",C46/B46)</f>
        <v/>
      </c>
      <c r="F46" s="1" t="s">
        <v>174</v>
      </c>
      <c r="G46" s="12">
        <f>COUNT(H16:H41)/26</f>
        <v>0</v>
      </c>
    </row>
    <row r="47" spans="1:10">
      <c r="A47" s="3" t="s">
        <v>44</v>
      </c>
      <c r="B47" s="9">
        <f t="shared" si="1"/>
        <v>15</v>
      </c>
      <c r="C47" s="9" t="str">
        <f t="shared" si="2"/>
        <v/>
      </c>
      <c r="D47" s="10" t="str">
        <f t="shared" si="3"/>
        <v/>
      </c>
      <c r="F47" s="1" t="s">
        <v>175</v>
      </c>
      <c r="G47" s="13" t="str">
        <f>IF(I42="","",I42)</f>
        <v/>
      </c>
    </row>
    <row r="48" spans="1:10">
      <c r="A48" s="3" t="s">
        <v>60</v>
      </c>
      <c r="B48" s="9">
        <f t="shared" si="1"/>
        <v>15</v>
      </c>
      <c r="C48" s="9" t="str">
        <f t="shared" si="2"/>
        <v/>
      </c>
      <c r="D48" s="10" t="str">
        <f t="shared" si="3"/>
        <v/>
      </c>
      <c r="F48" s="1" t="s">
        <v>176</v>
      </c>
      <c r="G48" s="13" t="str">
        <f>IF(I42="","",SUMIF($A$16:$A$41,"Technical Architecture",$I$16:$I$41)+SUMIF($A$16:$A$41,"AI / Data Engineering Quality",$I$16:$I$41)+SUMIF($A$16:$A$41,"Working Prototype &amp; Live Demo",$I$16:$I$41))</f>
        <v/>
      </c>
    </row>
    <row r="49" spans="1:10">
      <c r="A49" s="3" t="s">
        <v>81</v>
      </c>
      <c r="B49" s="9">
        <f t="shared" si="1"/>
        <v>15</v>
      </c>
      <c r="C49" s="9" t="str">
        <f t="shared" si="2"/>
        <v/>
      </c>
      <c r="D49" s="10" t="str">
        <f t="shared" si="3"/>
        <v/>
      </c>
      <c r="F49" s="1" t="s">
        <v>177</v>
      </c>
      <c r="G49" s="11" t="s">
        <v>178</v>
      </c>
    </row>
    <row r="50" spans="1:10">
      <c r="A50" s="3" t="s">
        <v>102</v>
      </c>
      <c r="B50" s="9">
        <f t="shared" si="1"/>
        <v>20</v>
      </c>
      <c r="C50" s="9" t="str">
        <f t="shared" si="2"/>
        <v/>
      </c>
      <c r="D50" s="10" t="str">
        <f t="shared" si="3"/>
        <v/>
      </c>
      <c r="F50" s="1" t="s">
        <v>179</v>
      </c>
      <c r="G50" s="11" t="s">
        <v>180</v>
      </c>
    </row>
    <row r="51" spans="1:10">
      <c r="A51" s="3" t="s">
        <v>123</v>
      </c>
      <c r="B51" s="9">
        <f t="shared" si="1"/>
        <v>8</v>
      </c>
      <c r="C51" s="9" t="str">
        <f t="shared" si="2"/>
        <v/>
      </c>
      <c r="D51" s="10" t="str">
        <f t="shared" si="3"/>
        <v/>
      </c>
    </row>
    <row r="52" spans="1:10">
      <c r="A52" s="3" t="s">
        <v>139</v>
      </c>
      <c r="B52" s="9">
        <f t="shared" si="1"/>
        <v>7</v>
      </c>
      <c r="C52" s="9" t="str">
        <f t="shared" si="2"/>
        <v/>
      </c>
      <c r="D52" s="10" t="str">
        <f t="shared" si="3"/>
        <v/>
      </c>
    </row>
    <row r="53" spans="1:10">
      <c r="A53" s="3" t="s">
        <v>155</v>
      </c>
      <c r="B53" s="9">
        <f t="shared" si="1"/>
        <v>5</v>
      </c>
      <c r="C53" s="9" t="str">
        <f t="shared" si="2"/>
        <v/>
      </c>
      <c r="D53" s="10" t="str">
        <f t="shared" si="3"/>
        <v/>
      </c>
    </row>
    <row r="55" spans="1:10" ht="15.6">
      <c r="A55" s="18" t="s">
        <v>181</v>
      </c>
      <c r="B55" s="18"/>
      <c r="C55" s="18"/>
      <c r="D55" s="18"/>
      <c r="E55" s="18"/>
      <c r="F55" s="18"/>
      <c r="G55" s="18"/>
      <c r="H55" s="18"/>
      <c r="I55" s="18"/>
      <c r="J55" s="18"/>
    </row>
    <row r="56" spans="1:10" ht="27.95">
      <c r="A56" s="5" t="s">
        <v>182</v>
      </c>
      <c r="B56" s="23" t="s">
        <v>183</v>
      </c>
      <c r="C56" s="23"/>
      <c r="D56" s="23"/>
      <c r="E56" s="23"/>
      <c r="F56" s="23"/>
      <c r="G56" s="23"/>
      <c r="H56" s="5" t="s">
        <v>184</v>
      </c>
      <c r="I56" s="5" t="s">
        <v>185</v>
      </c>
      <c r="J56" s="5" t="s">
        <v>186</v>
      </c>
    </row>
    <row r="57" spans="1:10">
      <c r="A57" s="1" t="s">
        <v>187</v>
      </c>
      <c r="B57" s="16" t="s">
        <v>188</v>
      </c>
      <c r="C57" s="16"/>
      <c r="D57" s="16"/>
      <c r="E57" s="16"/>
      <c r="F57" s="16"/>
      <c r="G57" s="16"/>
      <c r="H57" s="11"/>
      <c r="I57" s="14" t="s">
        <v>189</v>
      </c>
      <c r="J57" s="3"/>
    </row>
    <row r="58" spans="1:10">
      <c r="A58" s="1" t="s">
        <v>190</v>
      </c>
      <c r="B58" s="16" t="s">
        <v>191</v>
      </c>
      <c r="C58" s="16"/>
      <c r="D58" s="16"/>
      <c r="E58" s="16"/>
      <c r="F58" s="16"/>
      <c r="G58" s="16"/>
      <c r="H58" s="11"/>
      <c r="I58" s="14" t="s">
        <v>189</v>
      </c>
      <c r="J58" s="3"/>
    </row>
    <row r="59" spans="1:10">
      <c r="A59" s="1" t="s">
        <v>192</v>
      </c>
      <c r="B59" s="16" t="s">
        <v>193</v>
      </c>
      <c r="C59" s="16"/>
      <c r="D59" s="16"/>
      <c r="E59" s="16"/>
      <c r="F59" s="16"/>
      <c r="G59" s="16"/>
      <c r="H59" s="11"/>
      <c r="I59" s="14" t="s">
        <v>189</v>
      </c>
      <c r="J59" s="3"/>
    </row>
    <row r="60" spans="1:10">
      <c r="A60" s="1" t="s">
        <v>194</v>
      </c>
      <c r="B60" s="16" t="s">
        <v>195</v>
      </c>
      <c r="C60" s="16"/>
      <c r="D60" s="16"/>
      <c r="E60" s="16"/>
      <c r="F60" s="16"/>
      <c r="G60" s="16"/>
      <c r="H60" s="11"/>
      <c r="I60" s="14" t="s">
        <v>189</v>
      </c>
      <c r="J60" s="3"/>
    </row>
    <row r="61" spans="1:10">
      <c r="A61" s="1" t="s">
        <v>196</v>
      </c>
      <c r="B61" s="16" t="s">
        <v>197</v>
      </c>
      <c r="C61" s="16"/>
      <c r="D61" s="16"/>
      <c r="E61" s="16"/>
      <c r="F61" s="16"/>
      <c r="G61" s="16"/>
      <c r="H61" s="11"/>
      <c r="I61" s="14" t="s">
        <v>189</v>
      </c>
      <c r="J61" s="3"/>
    </row>
    <row r="62" spans="1:10">
      <c r="A62" s="1" t="s">
        <v>198</v>
      </c>
      <c r="B62" s="16" t="s">
        <v>199</v>
      </c>
      <c r="C62" s="16"/>
      <c r="D62" s="16"/>
      <c r="E62" s="16"/>
      <c r="F62" s="16"/>
      <c r="G62" s="16"/>
      <c r="H62" s="11"/>
      <c r="I62" s="14" t="s">
        <v>189</v>
      </c>
      <c r="J62" s="3"/>
    </row>
    <row r="63" spans="1:10">
      <c r="A63" s="1" t="s">
        <v>200</v>
      </c>
      <c r="B63" s="16" t="s">
        <v>201</v>
      </c>
      <c r="C63" s="16"/>
      <c r="D63" s="16"/>
      <c r="E63" s="16"/>
      <c r="F63" s="16"/>
      <c r="G63" s="16"/>
      <c r="H63" s="11"/>
      <c r="I63" s="14" t="s">
        <v>202</v>
      </c>
      <c r="J63" s="3"/>
    </row>
    <row r="64" spans="1:10">
      <c r="A64" s="20" t="s">
        <v>203</v>
      </c>
      <c r="B64" s="20"/>
      <c r="C64" s="20"/>
      <c r="D64" s="20"/>
      <c r="E64" s="20"/>
      <c r="F64" s="20"/>
      <c r="G64" s="20"/>
      <c r="H64" s="21" t="str">
        <f>IF(COUNTA(H57:H63)&lt;7,"Pending",IF(AND(H57="Yes",H58="Yes",H59="Yes",H60="Yes",H61="Yes",H62="Yes",H63="No"),"Gate Passed","Gate Failed"))</f>
        <v>Pending</v>
      </c>
      <c r="I64" s="21"/>
      <c r="J64" s="21"/>
    </row>
    <row r="66" spans="1:10" ht="15.6">
      <c r="A66" s="18" t="s">
        <v>204</v>
      </c>
      <c r="B66" s="18"/>
      <c r="C66" s="18"/>
      <c r="D66" s="18"/>
      <c r="E66" s="18"/>
      <c r="F66" s="18"/>
      <c r="G66" s="18"/>
      <c r="H66" s="18"/>
      <c r="I66" s="18"/>
      <c r="J66" s="18"/>
    </row>
    <row r="67" spans="1:10">
      <c r="A67" s="1" t="s">
        <v>205</v>
      </c>
      <c r="B67" s="19" t="str">
        <f>IF(I42="","",I42)</f>
        <v/>
      </c>
      <c r="C67" s="19"/>
      <c r="D67" s="16" t="s">
        <v>206</v>
      </c>
      <c r="E67" s="16"/>
      <c r="F67" s="16"/>
      <c r="G67" s="16"/>
      <c r="H67" s="16"/>
      <c r="I67" s="16"/>
      <c r="J67" s="16"/>
    </row>
    <row r="68" spans="1:10">
      <c r="A68" s="1" t="s">
        <v>176</v>
      </c>
      <c r="B68" s="19" t="str">
        <f>IF(I42="","",SUMIF($A$16:$A$41,"Technical Architecture",$I$16:$I$41)+SUMIF($A$16:$A$41,"AI / Data Engineering Quality",$I$16:$I$41)+SUMIF($A$16:$A$41,"Working Prototype &amp; Live Demo",$I$16:$I$41))</f>
        <v/>
      </c>
      <c r="C68" s="19"/>
      <c r="D68" s="16" t="s">
        <v>207</v>
      </c>
      <c r="E68" s="16"/>
      <c r="F68" s="16"/>
      <c r="G68" s="16"/>
      <c r="H68" s="16"/>
      <c r="I68" s="16"/>
      <c r="J68" s="16"/>
    </row>
    <row r="69" spans="1:10">
      <c r="A69" s="1" t="s">
        <v>208</v>
      </c>
      <c r="B69" s="19" t="str">
        <f>H64</f>
        <v>Pending</v>
      </c>
      <c r="C69" s="19"/>
      <c r="D69" s="16" t="s">
        <v>209</v>
      </c>
      <c r="E69" s="16"/>
      <c r="F69" s="16"/>
      <c r="G69" s="16"/>
      <c r="H69" s="16"/>
      <c r="I69" s="16"/>
      <c r="J69" s="16"/>
    </row>
    <row r="70" spans="1:10">
      <c r="A70" s="1" t="s">
        <v>8</v>
      </c>
      <c r="B70" s="19" t="str">
        <f>IF(OR(B67="",B68="",B69="Pending"),"Pending",IF(AND(B69="Gate Passed",B67&gt;=70,B68&gt;=35),"Eligible","Not Eligible"))</f>
        <v>Pending</v>
      </c>
      <c r="C70" s="19"/>
      <c r="D70" s="16" t="s">
        <v>210</v>
      </c>
      <c r="E70" s="16"/>
      <c r="F70" s="16"/>
      <c r="G70" s="16"/>
      <c r="H70" s="16"/>
      <c r="I70" s="16"/>
      <c r="J70" s="16"/>
    </row>
    <row r="73" spans="1:10" ht="15.6">
      <c r="A73" s="18" t="s">
        <v>211</v>
      </c>
      <c r="B73" s="18"/>
      <c r="C73" s="18"/>
      <c r="D73" s="18"/>
      <c r="E73" s="18"/>
      <c r="F73" s="18"/>
      <c r="G73" s="18"/>
      <c r="H73" s="18"/>
      <c r="I73" s="18"/>
      <c r="J73" s="18"/>
    </row>
    <row r="74" spans="1:10" ht="27.95" customHeight="1">
      <c r="A74" s="15" t="s">
        <v>212</v>
      </c>
      <c r="B74" s="15"/>
      <c r="C74" s="16" t="s">
        <v>213</v>
      </c>
      <c r="D74" s="16"/>
      <c r="E74" s="16"/>
      <c r="F74" s="16"/>
      <c r="G74" s="16"/>
      <c r="H74" s="16"/>
      <c r="I74" s="16"/>
      <c r="J74" s="16"/>
    </row>
    <row r="75" spans="1:10" ht="27.95" customHeight="1">
      <c r="A75" s="15" t="s">
        <v>214</v>
      </c>
      <c r="B75" s="15"/>
      <c r="C75" s="16" t="s">
        <v>215</v>
      </c>
      <c r="D75" s="16"/>
      <c r="E75" s="16"/>
      <c r="F75" s="16"/>
      <c r="G75" s="16"/>
      <c r="H75" s="16"/>
      <c r="I75" s="16"/>
      <c r="J75" s="16"/>
    </row>
    <row r="76" spans="1:10" ht="27.95" customHeight="1">
      <c r="A76" s="15" t="s">
        <v>216</v>
      </c>
      <c r="B76" s="15"/>
      <c r="C76" s="16" t="s">
        <v>217</v>
      </c>
      <c r="D76" s="16"/>
      <c r="E76" s="16"/>
      <c r="F76" s="16"/>
      <c r="G76" s="16"/>
      <c r="H76" s="16"/>
      <c r="I76" s="16"/>
      <c r="J76" s="16"/>
    </row>
    <row r="77" spans="1:10" ht="18.600000000000001" customHeight="1">
      <c r="A77" s="15" t="s">
        <v>218</v>
      </c>
      <c r="B77" s="15"/>
      <c r="C77" s="16" t="s">
        <v>219</v>
      </c>
      <c r="D77" s="16"/>
      <c r="E77" s="16"/>
      <c r="F77" s="16"/>
      <c r="G77" s="16"/>
      <c r="H77" s="16"/>
      <c r="I77" s="16"/>
      <c r="J77" s="16"/>
    </row>
    <row r="78" spans="1:10" ht="18.600000000000001" customHeight="1">
      <c r="A78" s="15" t="s">
        <v>220</v>
      </c>
      <c r="B78" s="15"/>
      <c r="C78" s="16" t="s">
        <v>221</v>
      </c>
      <c r="D78" s="16"/>
      <c r="E78" s="16"/>
      <c r="F78" s="16"/>
      <c r="G78" s="16"/>
      <c r="H78" s="16"/>
      <c r="I78" s="16"/>
      <c r="J78" s="16"/>
    </row>
    <row r="79" spans="1:10" ht="27.95" customHeight="1">
      <c r="A79" s="15" t="s">
        <v>222</v>
      </c>
      <c r="B79" s="15"/>
      <c r="C79" s="16" t="s">
        <v>223</v>
      </c>
      <c r="D79" s="16"/>
      <c r="E79" s="16"/>
      <c r="F79" s="16"/>
      <c r="G79" s="16"/>
      <c r="H79" s="16"/>
      <c r="I79" s="16"/>
      <c r="J79" s="16"/>
    </row>
    <row r="81" spans="1:10" ht="20.100000000000001" customHeight="1">
      <c r="A81" s="17" t="s">
        <v>224</v>
      </c>
      <c r="B81" s="17"/>
      <c r="C81" s="17"/>
      <c r="D81" s="17"/>
      <c r="E81" s="17"/>
      <c r="F81" s="17"/>
      <c r="G81" s="17"/>
      <c r="H81" s="17"/>
      <c r="I81" s="17"/>
      <c r="J81" s="17"/>
    </row>
  </sheetData>
  <mergeCells count="46">
    <mergeCell ref="A1:J1"/>
    <mergeCell ref="A2:J2"/>
    <mergeCell ref="B4:C4"/>
    <mergeCell ref="E4:F4"/>
    <mergeCell ref="H4:J4"/>
    <mergeCell ref="B5:C5"/>
    <mergeCell ref="E5:F5"/>
    <mergeCell ref="A7:J7"/>
    <mergeCell ref="A11:J11"/>
    <mergeCell ref="A13:J13"/>
    <mergeCell ref="A42:H42"/>
    <mergeCell ref="A44:J44"/>
    <mergeCell ref="A55:J55"/>
    <mergeCell ref="B56:G56"/>
    <mergeCell ref="B57:G57"/>
    <mergeCell ref="B58:G58"/>
    <mergeCell ref="B59:G59"/>
    <mergeCell ref="B60:G60"/>
    <mergeCell ref="B61:G61"/>
    <mergeCell ref="B62:G62"/>
    <mergeCell ref="B63:G63"/>
    <mergeCell ref="A64:G64"/>
    <mergeCell ref="H64:J64"/>
    <mergeCell ref="A66:J66"/>
    <mergeCell ref="B67:C67"/>
    <mergeCell ref="D67:J67"/>
    <mergeCell ref="B68:C68"/>
    <mergeCell ref="D68:J68"/>
    <mergeCell ref="B69:C69"/>
    <mergeCell ref="D69:J69"/>
    <mergeCell ref="B70:C70"/>
    <mergeCell ref="D70:J70"/>
    <mergeCell ref="A73:J73"/>
    <mergeCell ref="A74:B74"/>
    <mergeCell ref="C74:J74"/>
    <mergeCell ref="A75:B75"/>
    <mergeCell ref="C75:J75"/>
    <mergeCell ref="A79:B79"/>
    <mergeCell ref="C79:J79"/>
    <mergeCell ref="A81:J81"/>
    <mergeCell ref="A76:B76"/>
    <mergeCell ref="C76:J76"/>
    <mergeCell ref="A77:B77"/>
    <mergeCell ref="C77:J77"/>
    <mergeCell ref="A78:B78"/>
    <mergeCell ref="C78:J78"/>
  </mergeCells>
  <dataValidations count="4">
    <dataValidation type="list" sqref="H16:H41" xr:uid="{00000000-0002-0000-0000-000000000000}">
      <formula1>"1,2,3,4,5"</formula1>
    </dataValidation>
    <dataValidation type="list" sqref="H57:H63" xr:uid="{00000000-0002-0000-0000-000001000000}">
      <formula1>"Yes,No"</formula1>
    </dataValidation>
    <dataValidation type="list" sqref="C77:J77" xr:uid="{00000000-0002-0000-0000-000002000000}">
      <formula1>"Proceed to next phase,Proceed with conditions,Needs rework,Do not proceed"</formula1>
    </dataValidation>
    <dataValidation type="list" sqref="C78:J78" xr:uid="{00000000-0002-0000-0000-000003000000}">
      <formula1>"None,Best Innovation,Best Technical Solution,Best Business Impact,Best POC Execution"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SHARMA</dc:creator>
  <cp:keywords/>
  <dc:description/>
  <cp:lastModifiedBy/>
  <cp:revision/>
  <dcterms:created xsi:type="dcterms:W3CDTF">2026-09-16T13:11:21Z</dcterms:created>
  <dcterms:modified xsi:type="dcterms:W3CDTF">2026-09-16T15:53:03Z</dcterms:modified>
  <cp:category/>
  <cp:contentStatus/>
</cp:coreProperties>
</file>